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jas\MSCI 100 MGMT Concepts\Excel\Excel Time Management Project (Group)\"/>
    </mc:Choice>
  </mc:AlternateContent>
  <xr:revisionPtr revIDLastSave="0" documentId="8_{0196019D-8F8F-419D-93BE-B60A229E1794}" xr6:coauthVersionLast="47" xr6:coauthVersionMax="47" xr10:uidLastSave="{00000000-0000-0000-0000-000000000000}"/>
  <bookViews>
    <workbookView xWindow="-98" yWindow="-98" windowWidth="21795" windowHeight="11625" activeTab="5" xr2:uid="{544E4681-173E-494E-8393-01870AE6809A}"/>
  </bookViews>
  <sheets>
    <sheet name="Visualization" sheetId="7" r:id="rId1"/>
    <sheet name="TaskOverview" sheetId="1" r:id="rId2"/>
    <sheet name="Academic Tasks" sheetId="9" r:id="rId3"/>
    <sheet name="Non-Academic Tasks" sheetId="8" r:id="rId4"/>
    <sheet name="Advice" sheetId="10" r:id="rId5"/>
    <sheet name="Notes" sheetId="11" r:id="rId6"/>
  </sheets>
  <functionGroups builtInGroupCount="19"/>
  <definedNames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7" i="1" l="1"/>
  <c r="BY7" i="1"/>
  <c r="BZ7" i="1"/>
  <c r="CA7" i="1"/>
  <c r="BX8" i="1"/>
  <c r="BY8" i="1"/>
  <c r="BZ8" i="1"/>
  <c r="CA8" i="1"/>
  <c r="CA12" i="1"/>
  <c r="CA11" i="1"/>
  <c r="CA10" i="1"/>
  <c r="CA9" i="1"/>
  <c r="BZ12" i="1"/>
  <c r="BZ11" i="1"/>
  <c r="BZ10" i="1"/>
  <c r="BZ9" i="1"/>
  <c r="BY12" i="1"/>
  <c r="BY11" i="1"/>
  <c r="BY10" i="1"/>
  <c r="BY9" i="1"/>
  <c r="BX12" i="1"/>
  <c r="BX11" i="1"/>
  <c r="BX10" i="1"/>
  <c r="BX9" i="1"/>
</calcChain>
</file>

<file path=xl/sharedStrings.xml><?xml version="1.0" encoding="utf-8"?>
<sst xmlns="http://schemas.openxmlformats.org/spreadsheetml/2006/main" count="29" uniqueCount="17">
  <si>
    <t>Category</t>
  </si>
  <si>
    <t>Description</t>
  </si>
  <si>
    <t>Date</t>
  </si>
  <si>
    <t>Task</t>
  </si>
  <si>
    <t>Estimated Time</t>
  </si>
  <si>
    <t>Status</t>
  </si>
  <si>
    <t>Assignment</t>
  </si>
  <si>
    <t>Pending</t>
  </si>
  <si>
    <t>Quiz</t>
  </si>
  <si>
    <t>Exam</t>
  </si>
  <si>
    <t>Practice</t>
  </si>
  <si>
    <t>Meeting</t>
  </si>
  <si>
    <t>Study Time</t>
  </si>
  <si>
    <t>Completed</t>
  </si>
  <si>
    <t>Overdue</t>
  </si>
  <si>
    <t>Standby</t>
  </si>
  <si>
    <t>Notes-to-Self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</si>
</sst>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Aharoni"/>
      <charset val="177"/>
    </font>
    <font>
      <u/>
      <sz val="14"/>
      <color theme="1"/>
      <name val="Aharoni"/>
      <charset val="177"/>
    </font>
    <font>
      <b/>
      <sz val="22"/>
      <color theme="3" tint="-0.499984740745262"/>
      <name val="Aharoni"/>
      <charset val="177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4"/>
        <color theme="1"/>
        <name val="Aharoni"/>
        <charset val="177"/>
        <scheme val="none"/>
      </font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4"/>
        <color theme="1"/>
        <name val="Aharoni"/>
        <charset val="177"/>
        <scheme val="none"/>
      </font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4"/>
        <color theme="1"/>
        <name val="Aharoni"/>
        <charset val="177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565"/>
      <color rgb="FFFF967D"/>
      <color rgb="FFF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haroni" panose="020F0502020204030204" pitchFamily="2" charset="-79"/>
                <a:ea typeface="ADLaM Display" panose="02010000000000000000" pitchFamily="2" charset="0"/>
                <a:cs typeface="Aharoni" panose="020F0502020204030204" pitchFamily="2" charset="-79"/>
              </a:defRPr>
            </a:pPr>
            <a:r>
              <a:rPr lang="en-CA" sz="2000" b="1">
                <a:solidFill>
                  <a:schemeClr val="bg1"/>
                </a:solidFill>
                <a:latin typeface="Aharoni" panose="020F0502020204030204" pitchFamily="2" charset="-79"/>
                <a:ea typeface="ADLaM Display" panose="02010000000000000000" pitchFamily="2" charset="0"/>
                <a:cs typeface="Aharoni" panose="020F0502020204030204" pitchFamily="2" charset="-79"/>
              </a:rPr>
              <a:t>Amount</a:t>
            </a:r>
            <a:r>
              <a:rPr lang="en-CA" sz="2000" b="1" baseline="0">
                <a:solidFill>
                  <a:schemeClr val="bg1"/>
                </a:solidFill>
                <a:latin typeface="Aharoni" panose="020F0502020204030204" pitchFamily="2" charset="-79"/>
                <a:ea typeface="ADLaM Display" panose="02010000000000000000" pitchFamily="2" charset="0"/>
                <a:cs typeface="Aharoni" panose="020F0502020204030204" pitchFamily="2" charset="-79"/>
              </a:rPr>
              <a:t> of Tasks Per Category by Status</a:t>
            </a:r>
            <a:endParaRPr lang="en-CA" sz="2000" b="1">
              <a:solidFill>
                <a:schemeClr val="bg1"/>
              </a:solidFill>
              <a:latin typeface="Aharoni" panose="020F0502020204030204" pitchFamily="2" charset="-79"/>
              <a:ea typeface="ADLaM Display" panose="02010000000000000000" pitchFamily="2" charset="0"/>
              <a:cs typeface="Aharoni" panose="020F0502020204030204" pitchFamily="2" charset="-79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haroni" panose="020F0502020204030204" pitchFamily="2" charset="-79"/>
              <a:ea typeface="ADLaM Display" panose="02010000000000000000" pitchFamily="2" charset="0"/>
              <a:cs typeface="Aharoni" panose="020F0502020204030204" pitchFamily="2" charset="-79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TaskOverview!$BX$6</c:f>
              <c:strCache>
                <c:ptCount val="1"/>
                <c:pt idx="0">
                  <c:v>Overdue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TaskOverview!$BX$7:$BX$12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5-4922-A35E-33DF9CE21E5F}"/>
            </c:ext>
          </c:extLst>
        </c:ser>
        <c:ser>
          <c:idx val="1"/>
          <c:order val="1"/>
          <c:tx>
            <c:strRef>
              <c:f>TaskOverview!$BY$6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rgbClr val="FF967D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TaskOverview!$BY$7:$BY$12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5-4922-A35E-33DF9CE21E5F}"/>
            </c:ext>
          </c:extLst>
        </c:ser>
        <c:ser>
          <c:idx val="2"/>
          <c:order val="2"/>
          <c:tx>
            <c:strRef>
              <c:f>TaskOverview!$BZ$6</c:f>
              <c:strCache>
                <c:ptCount val="1"/>
                <c:pt idx="0">
                  <c:v>Standby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TaskOverview!$BZ$7:$BZ$12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5-4922-A35E-33DF9CE21E5F}"/>
            </c:ext>
          </c:extLst>
        </c:ser>
        <c:ser>
          <c:idx val="3"/>
          <c:order val="3"/>
          <c:tx>
            <c:strRef>
              <c:f>TaskOverview!$CA$6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TaskOverview!$CA$7:$CA$12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5-4922-A35E-33DF9CE21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6114192"/>
        <c:axId val="1972243728"/>
      </c:barChart>
      <c:catAx>
        <c:axId val="1966114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haroni" panose="02010803020104030203" pitchFamily="2" charset="-79"/>
                    <a:ea typeface="+mn-ea"/>
                    <a:cs typeface="Aharoni" panose="02010803020104030203" pitchFamily="2" charset="-79"/>
                  </a:defRPr>
                </a:pPr>
                <a:r>
                  <a:rPr lang="en-CA">
                    <a:solidFill>
                      <a:schemeClr val="bg2"/>
                    </a:solidFill>
                    <a:latin typeface="Aharoni" panose="02010803020104030203" pitchFamily="2" charset="-79"/>
                    <a:cs typeface="Aharoni" panose="02010803020104030203" pitchFamily="2" charset="-79"/>
                  </a:rPr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2"/>
                  </a:solidFill>
                  <a:latin typeface="Aharoni" panose="02010803020104030203" pitchFamily="2" charset="-79"/>
                  <a:ea typeface="+mn-ea"/>
                  <a:cs typeface="Aharoni" panose="02010803020104030203" pitchFamily="2" charset="-79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243728"/>
        <c:crosses val="autoZero"/>
        <c:auto val="1"/>
        <c:lblAlgn val="ctr"/>
        <c:lblOffset val="100"/>
        <c:noMultiLvlLbl val="0"/>
      </c:catAx>
      <c:valAx>
        <c:axId val="197224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haroni" panose="02010803020104030203" pitchFamily="2" charset="-79"/>
                    <a:ea typeface="+mn-ea"/>
                    <a:cs typeface="Aharoni" panose="02010803020104030203" pitchFamily="2" charset="-79"/>
                  </a:defRPr>
                </a:pPr>
                <a:r>
                  <a:rPr lang="en-CA">
                    <a:solidFill>
                      <a:schemeClr val="bg2"/>
                    </a:solidFill>
                    <a:latin typeface="Aharoni" panose="02010803020104030203" pitchFamily="2" charset="-79"/>
                    <a:cs typeface="Aharoni" panose="02010803020104030203" pitchFamily="2" charset="-79"/>
                  </a:rPr>
                  <a:t>Amount</a:t>
                </a:r>
                <a:r>
                  <a:rPr lang="en-CA" baseline="0">
                    <a:solidFill>
                      <a:schemeClr val="bg2"/>
                    </a:solidFill>
                    <a:latin typeface="Aharoni" panose="02010803020104030203" pitchFamily="2" charset="-79"/>
                    <a:cs typeface="Aharoni" panose="02010803020104030203" pitchFamily="2" charset="-79"/>
                  </a:rPr>
                  <a:t> of Tasks</a:t>
                </a:r>
                <a:endParaRPr lang="en-CA">
                  <a:solidFill>
                    <a:schemeClr val="bg2"/>
                  </a:solidFill>
                  <a:latin typeface="Aharoni" panose="02010803020104030203" pitchFamily="2" charset="-79"/>
                  <a:cs typeface="Aharoni" panose="02010803020104030203" pitchFamily="2" charset="-79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2"/>
                  </a:solidFill>
                  <a:latin typeface="Aharoni" panose="02010803020104030203" pitchFamily="2" charset="-79"/>
                  <a:ea typeface="+mn-ea"/>
                  <a:cs typeface="Aharoni" panose="02010803020104030203" pitchFamily="2" charset="-79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11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3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1C8144E-D6E6-4C71-BF23-BC7C3CCCE0DD}">
  <sheetPr codeName="Chart1">
    <tabColor theme="9"/>
  </sheetPr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214" cy="62876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22ACF0-D887-32C5-A534-236CBF34F6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</xdr:row>
      <xdr:rowOff>0</xdr:rowOff>
    </xdr:from>
    <xdr:to>
      <xdr:col>9</xdr:col>
      <xdr:colOff>7620</xdr:colOff>
      <xdr:row>1</xdr:row>
      <xdr:rowOff>563880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331CADB6-E8DB-B86E-392A-382C46FCD664}"/>
            </a:ext>
          </a:extLst>
        </xdr:cNvPr>
        <xdr:cNvSpPr/>
      </xdr:nvSpPr>
      <xdr:spPr>
        <a:xfrm>
          <a:off x="11346180" y="571500"/>
          <a:ext cx="1211580" cy="563880"/>
        </a:xfrm>
        <a:prstGeom prst="rect">
          <a:avLst/>
        </a:prstGeom>
        <a:gradFill>
          <a:gsLst>
            <a:gs pos="100000">
              <a:schemeClr val="accent1">
                <a:lumMod val="60000"/>
                <a:lumOff val="40000"/>
              </a:schemeClr>
            </a:gs>
            <a:gs pos="89518">
              <a:srgbClr val="2F5597"/>
            </a:gs>
            <a:gs pos="82000">
              <a:srgbClr val="4A6BA5"/>
            </a:gs>
            <a:gs pos="98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rgbClr val="91A5C8"/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Add Task</a:t>
          </a:r>
        </a:p>
      </xdr:txBody>
    </xdr:sp>
    <xdr:clientData/>
  </xdr:twoCellAnchor>
  <xdr:twoCellAnchor>
    <xdr:from>
      <xdr:col>7</xdr:col>
      <xdr:colOff>15240</xdr:colOff>
      <xdr:row>2</xdr:row>
      <xdr:rowOff>141941</xdr:rowOff>
    </xdr:from>
    <xdr:to>
      <xdr:col>9</xdr:col>
      <xdr:colOff>0</xdr:colOff>
      <xdr:row>3</xdr:row>
      <xdr:rowOff>122966</xdr:rowOff>
    </xdr:to>
    <xdr:sp macro="[0]!ClearTasks" textlink="">
      <xdr:nvSpPr>
        <xdr:cNvPr id="3" name="Rectangle 2">
          <a:extLst>
            <a:ext uri="{FF2B5EF4-FFF2-40B4-BE49-F238E27FC236}">
              <a16:creationId xmlns:a16="http://schemas.microsoft.com/office/drawing/2014/main" id="{8D340D41-D2A8-4121-983C-7A027CD3BBE0}"/>
            </a:ext>
          </a:extLst>
        </xdr:cNvPr>
        <xdr:cNvSpPr/>
      </xdr:nvSpPr>
      <xdr:spPr>
        <a:xfrm>
          <a:off x="11348122" y="1292412"/>
          <a:ext cx="1209937" cy="556260"/>
        </a:xfrm>
        <a:prstGeom prst="rect">
          <a:avLst/>
        </a:prstGeom>
        <a:gradFill>
          <a:gsLst>
            <a:gs pos="100000">
              <a:schemeClr val="accent1">
                <a:lumMod val="60000"/>
                <a:lumOff val="40000"/>
              </a:schemeClr>
            </a:gs>
            <a:gs pos="89518">
              <a:srgbClr val="2F5597"/>
            </a:gs>
            <a:gs pos="82000">
              <a:srgbClr val="4A6BA5"/>
            </a:gs>
            <a:gs pos="98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rgbClr val="91A5C8"/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200" baseline="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 Entire Table</a:t>
          </a:r>
          <a:endParaRPr lang="en-CA" sz="1200">
            <a:solidFill>
              <a:schemeClr val="accent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567765</xdr:colOff>
      <xdr:row>3</xdr:row>
      <xdr:rowOff>209178</xdr:rowOff>
    </xdr:from>
    <xdr:ext cx="1897529" cy="150905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09D0BC-36B3-8384-64E9-D76039B0C0BF}"/>
            </a:ext>
          </a:extLst>
        </xdr:cNvPr>
        <xdr:cNvSpPr txBox="1"/>
      </xdr:nvSpPr>
      <xdr:spPr>
        <a:xfrm>
          <a:off x="11288059" y="1934884"/>
          <a:ext cx="1897529" cy="150905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CA" sz="900" b="1" u="sng"/>
            <a:t>Note:</a:t>
          </a:r>
        </a:p>
        <a:p>
          <a:pPr algn="l"/>
          <a:endParaRPr lang="en-CA" sz="900"/>
        </a:p>
        <a:p>
          <a:pPr algn="l"/>
          <a:r>
            <a:rPr lang="en-CA" sz="900"/>
            <a:t>Input</a:t>
          </a:r>
          <a:r>
            <a:rPr lang="en-CA" sz="900" baseline="0"/>
            <a:t> data does not automatically add values from the same categories to the same row.</a:t>
          </a:r>
        </a:p>
        <a:p>
          <a:pPr algn="l"/>
          <a:endParaRPr lang="en-CA" sz="900" baseline="0"/>
        </a:p>
        <a:p>
          <a:pPr algn="l"/>
          <a:r>
            <a:rPr lang="en-CA" sz="900" baseline="0"/>
            <a:t>Do NOT write anything below the table's last row, as it will disturb the create barchart function.</a:t>
          </a:r>
          <a:endParaRPr lang="en-CA" sz="900"/>
        </a:p>
      </xdr:txBody>
    </xdr:sp>
    <xdr:clientData/>
  </xdr:oneCellAnchor>
  <xdr:oneCellAnchor>
    <xdr:from>
      <xdr:col>7</xdr:col>
      <xdr:colOff>2989</xdr:colOff>
      <xdr:row>6</xdr:row>
      <xdr:rowOff>47813</xdr:rowOff>
    </xdr:from>
    <xdr:ext cx="1897529" cy="173018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EA7173C-7A31-4089-BBE9-275B5E2E8E77}"/>
            </a:ext>
          </a:extLst>
        </xdr:cNvPr>
        <xdr:cNvSpPr txBox="1"/>
      </xdr:nvSpPr>
      <xdr:spPr>
        <a:xfrm>
          <a:off x="11335871" y="3499225"/>
          <a:ext cx="1897529" cy="17301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CA" sz="900" b="1" u="sng"/>
            <a:t>Pro Tips:</a:t>
          </a:r>
        </a:p>
        <a:p>
          <a:pPr algn="l"/>
          <a:endParaRPr lang="en-CA" sz="900"/>
        </a:p>
        <a:p>
          <a:pPr algn="l"/>
          <a:r>
            <a:rPr lang="en-CA" sz="900"/>
            <a:t>Click</a:t>
          </a:r>
          <a:r>
            <a:rPr lang="en-CA" sz="900" baseline="0"/>
            <a:t> on a status cell to change it's progression. Use the small grey arrow next to it to choose from 4 different status types.</a:t>
          </a:r>
        </a:p>
        <a:p>
          <a:pPr algn="l"/>
          <a:endParaRPr lang="en-CA" sz="900" baseline="0"/>
        </a:p>
        <a:p>
          <a:pPr algn="l"/>
          <a:r>
            <a:rPr lang="en-CA" sz="900" baseline="0"/>
            <a:t>Use the small grey arrows on the dark blue table headers to filter your tasks (e.g. oldest to newest, certain categories/statuses)</a:t>
          </a:r>
          <a:endParaRPr lang="en-CA" sz="9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251460</xdr:rowOff>
    </xdr:from>
    <xdr:to>
      <xdr:col>8</xdr:col>
      <xdr:colOff>295537</xdr:colOff>
      <xdr:row>1</xdr:row>
      <xdr:rowOff>236220</xdr:rowOff>
    </xdr:to>
    <xdr:sp macro="[0]!ClearTasks" textlink="">
      <xdr:nvSpPr>
        <xdr:cNvPr id="2" name="Rectangle 1">
          <a:extLst>
            <a:ext uri="{FF2B5EF4-FFF2-40B4-BE49-F238E27FC236}">
              <a16:creationId xmlns:a16="http://schemas.microsoft.com/office/drawing/2014/main" id="{135CCA0A-9D2C-4DE6-969D-1588C8A49F79}"/>
            </a:ext>
          </a:extLst>
        </xdr:cNvPr>
        <xdr:cNvSpPr/>
      </xdr:nvSpPr>
      <xdr:spPr>
        <a:xfrm>
          <a:off x="10012680" y="251460"/>
          <a:ext cx="1209937" cy="556260"/>
        </a:xfrm>
        <a:prstGeom prst="rect">
          <a:avLst/>
        </a:prstGeom>
        <a:gradFill>
          <a:gsLst>
            <a:gs pos="100000">
              <a:schemeClr val="accent6">
                <a:lumMod val="75000"/>
              </a:schemeClr>
            </a:gs>
            <a:gs pos="89518">
              <a:schemeClr val="accent6">
                <a:lumMod val="75000"/>
              </a:schemeClr>
            </a:gs>
            <a:gs pos="82000">
              <a:schemeClr val="accent6">
                <a:lumMod val="75000"/>
              </a:schemeClr>
            </a:gs>
            <a:gs pos="98000">
              <a:schemeClr val="accent6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chemeClr val="accent6">
                <a:lumMod val="60000"/>
                <a:lumOff val="40000"/>
              </a:schemeClr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6"/>
          </a:solidFill>
        </a:ln>
        <a:effectLst>
          <a:glow rad="38100">
            <a:schemeClr val="accent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solidFill>
                <a:schemeClr val="accent6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200" baseline="0">
              <a:solidFill>
                <a:schemeClr val="accent6"/>
              </a:solidFill>
              <a:latin typeface="Aharoni" panose="02010803020104030203" pitchFamily="2" charset="-79"/>
              <a:cs typeface="Aharoni" panose="02010803020104030203" pitchFamily="2" charset="-79"/>
            </a:rPr>
            <a:t> Entire Table</a:t>
          </a:r>
          <a:endParaRPr lang="en-CA" sz="1200">
            <a:solidFill>
              <a:schemeClr val="accent6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293427</xdr:colOff>
      <xdr:row>0</xdr:row>
      <xdr:rowOff>296953</xdr:rowOff>
    </xdr:from>
    <xdr:to>
      <xdr:col>8</xdr:col>
      <xdr:colOff>523164</xdr:colOff>
      <xdr:row>2</xdr:row>
      <xdr:rowOff>102359</xdr:rowOff>
    </xdr:to>
    <xdr:sp macro="[0]!ClearTasks" textlink="">
      <xdr:nvSpPr>
        <xdr:cNvPr id="4" name="Rectangle 3">
          <a:extLst>
            <a:ext uri="{FF2B5EF4-FFF2-40B4-BE49-F238E27FC236}">
              <a16:creationId xmlns:a16="http://schemas.microsoft.com/office/drawing/2014/main" id="{F96C1153-F22B-46A7-89DB-9691B9289332}"/>
            </a:ext>
          </a:extLst>
        </xdr:cNvPr>
        <xdr:cNvSpPr/>
      </xdr:nvSpPr>
      <xdr:spPr>
        <a:xfrm>
          <a:off x="9994711" y="296953"/>
          <a:ext cx="1458035" cy="942719"/>
        </a:xfrm>
        <a:prstGeom prst="rect">
          <a:avLst/>
        </a:prstGeom>
        <a:gradFill>
          <a:gsLst>
            <a:gs pos="100000">
              <a:srgbClr val="EE833B"/>
            </a:gs>
            <a:gs pos="65000">
              <a:srgbClr val="FBDFCD"/>
            </a:gs>
            <a:gs pos="0">
              <a:schemeClr val="accent2">
                <a:lumMod val="0"/>
                <a:lumOff val="100000"/>
              </a:schemeClr>
            </a:gs>
            <a:gs pos="100000">
              <a:srgbClr val="EF8B48"/>
            </a:gs>
            <a:gs pos="52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lin ang="2700000" scaled="1"/>
        </a:gradFill>
        <a:ln w="2540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600">
              <a:solidFill>
                <a:schemeClr val="accent2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600" baseline="0">
              <a:solidFill>
                <a:schemeClr val="accent2"/>
              </a:solidFill>
              <a:latin typeface="Aharoni" panose="02010803020104030203" pitchFamily="2" charset="-79"/>
              <a:cs typeface="Aharoni" panose="02010803020104030203" pitchFamily="2" charset="-79"/>
            </a:rPr>
            <a:t> Entire Table</a:t>
          </a:r>
          <a:endParaRPr lang="en-CA" sz="1600">
            <a:solidFill>
              <a:schemeClr val="accent2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0</xdr:row>
      <xdr:rowOff>137160</xdr:rowOff>
    </xdr:from>
    <xdr:to>
      <xdr:col>3</xdr:col>
      <xdr:colOff>236220</xdr:colOff>
      <xdr:row>6</xdr:row>
      <xdr:rowOff>160020</xdr:rowOff>
    </xdr:to>
    <xdr:sp macro="[0]!LundLoy" textlink="">
      <xdr:nvSpPr>
        <xdr:cNvPr id="2" name="Rectangle 1">
          <a:extLst>
            <a:ext uri="{FF2B5EF4-FFF2-40B4-BE49-F238E27FC236}">
              <a16:creationId xmlns:a16="http://schemas.microsoft.com/office/drawing/2014/main" id="{0E1A60D7-9376-4A2F-8BD6-D62EBB996F4F}"/>
            </a:ext>
          </a:extLst>
        </xdr:cNvPr>
        <xdr:cNvSpPr/>
      </xdr:nvSpPr>
      <xdr:spPr>
        <a:xfrm>
          <a:off x="175260" y="137160"/>
          <a:ext cx="1889760" cy="1120140"/>
        </a:xfrm>
        <a:prstGeom prst="rect">
          <a:avLst/>
        </a:prstGeom>
        <a:gradFill>
          <a:gsLst>
            <a:gs pos="100000">
              <a:schemeClr val="accent1">
                <a:lumMod val="75000"/>
              </a:schemeClr>
            </a:gs>
            <a:gs pos="100000">
              <a:schemeClr val="accent1">
                <a:lumMod val="75000"/>
              </a:schemeClr>
            </a:gs>
            <a:gs pos="89000">
              <a:schemeClr val="accent1">
                <a:lumMod val="75000"/>
              </a:schemeClr>
            </a:gs>
            <a:gs pos="96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71000">
              <a:schemeClr val="accent1">
                <a:lumMod val="60000"/>
                <a:lumOff val="40000"/>
              </a:schemeClr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6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Recommended</a:t>
          </a:r>
          <a:r>
            <a:rPr lang="en-CA" sz="1600" baseline="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 Studying Hours Per Week</a:t>
          </a:r>
          <a:endParaRPr lang="en-CA" sz="1600">
            <a:solidFill>
              <a:schemeClr val="accent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190500</xdr:rowOff>
    </xdr:from>
    <xdr:to>
      <xdr:col>3</xdr:col>
      <xdr:colOff>266700</xdr:colOff>
      <xdr:row>4</xdr:row>
      <xdr:rowOff>114300</xdr:rowOff>
    </xdr:to>
    <xdr:sp macro="[0]!Sheet4.OpenNotepadUserForm" textlink="">
      <xdr:nvSpPr>
        <xdr:cNvPr id="2" name="Rectangle 1">
          <a:extLst>
            <a:ext uri="{FF2B5EF4-FFF2-40B4-BE49-F238E27FC236}">
              <a16:creationId xmlns:a16="http://schemas.microsoft.com/office/drawing/2014/main" id="{A1B96FFB-C050-62D6-7D18-165EF35437D9}"/>
            </a:ext>
          </a:extLst>
        </xdr:cNvPr>
        <xdr:cNvSpPr/>
      </xdr:nvSpPr>
      <xdr:spPr>
        <a:xfrm>
          <a:off x="6202680" y="190500"/>
          <a:ext cx="1257300" cy="914400"/>
        </a:xfrm>
        <a:prstGeom prst="rect">
          <a:avLst/>
        </a:prstGeom>
        <a:gradFill>
          <a:gsLst>
            <a:gs pos="100000">
              <a:schemeClr val="accent1">
                <a:lumMod val="50000"/>
              </a:schemeClr>
            </a:gs>
            <a:gs pos="100000">
              <a:schemeClr val="accent1">
                <a:lumMod val="50000"/>
              </a:schemeClr>
            </a:gs>
            <a:gs pos="89000">
              <a:schemeClr val="accent1">
                <a:lumMod val="50000"/>
              </a:schemeClr>
            </a:gs>
            <a:gs pos="96000">
              <a:schemeClr val="accent1">
                <a:lumMod val="50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96000">
              <a:schemeClr val="accent1">
                <a:lumMod val="50000"/>
              </a:schemeClr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>
              <a:solidFill>
                <a:schemeClr val="accent1">
                  <a:lumMod val="50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rPr>
            <a:t>Open NotePad</a:t>
          </a:r>
        </a:p>
      </xdr:txBody>
    </xdr:sp>
    <xdr:clientData/>
  </xdr:twoCellAnchor>
  <xdr:twoCellAnchor>
    <xdr:from>
      <xdr:col>1</xdr:col>
      <xdr:colOff>228599</xdr:colOff>
      <xdr:row>5</xdr:row>
      <xdr:rowOff>109537</xdr:rowOff>
    </xdr:from>
    <xdr:to>
      <xdr:col>3</xdr:col>
      <xdr:colOff>261936</xdr:colOff>
      <xdr:row>10</xdr:row>
      <xdr:rowOff>114300</xdr:rowOff>
    </xdr:to>
    <xdr:sp macro="[0]!ClearNotepad" textlink="">
      <xdr:nvSpPr>
        <xdr:cNvPr id="3" name="Rectangle 2">
          <a:extLst>
            <a:ext uri="{FF2B5EF4-FFF2-40B4-BE49-F238E27FC236}">
              <a16:creationId xmlns:a16="http://schemas.microsoft.com/office/drawing/2014/main" id="{009B3C8A-1DEC-4A87-95E2-1C6FE8C740B7}"/>
            </a:ext>
          </a:extLst>
        </xdr:cNvPr>
        <xdr:cNvSpPr/>
      </xdr:nvSpPr>
      <xdr:spPr>
        <a:xfrm>
          <a:off x="6453187" y="1271587"/>
          <a:ext cx="1328737" cy="909638"/>
        </a:xfrm>
        <a:prstGeom prst="rect">
          <a:avLst/>
        </a:prstGeom>
        <a:gradFill>
          <a:gsLst>
            <a:gs pos="100000">
              <a:schemeClr val="accent1">
                <a:lumMod val="60000"/>
                <a:lumOff val="40000"/>
              </a:schemeClr>
            </a:gs>
            <a:gs pos="89518">
              <a:srgbClr val="2F5597"/>
            </a:gs>
            <a:gs pos="82000">
              <a:srgbClr val="4A6BA5"/>
            </a:gs>
            <a:gs pos="98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rgbClr val="91A5C8"/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200" baseline="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 Notepad</a:t>
          </a:r>
          <a:endParaRPr lang="en-CA" sz="1200">
            <a:solidFill>
              <a:schemeClr val="accent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68430E-746A-45EF-A7ED-186939FCE3A9}" name="Table2" displayName="Table2" ref="A1:F1048576" totalsRowShown="0" headerRowDxfId="31" dataDxfId="30">
  <autoFilter ref="A1:F1048576" xr:uid="{9768430E-746A-45EF-A7ED-186939FCE3A9}"/>
  <sortState xmlns:xlrd2="http://schemas.microsoft.com/office/spreadsheetml/2017/richdata2" ref="A2:F16">
    <sortCondition descending="1" ref="A1:A1048576"/>
  </sortState>
  <tableColumns count="6">
    <tableColumn id="1" xr3:uid="{B1D9154D-5438-4C41-864D-C37491C83FAF}" name="Date" dataDxfId="29"/>
    <tableColumn id="2" xr3:uid="{69EDDF0F-A267-4FCF-8637-B221DAB25EAB}" name="Task" dataDxfId="28"/>
    <tableColumn id="6" xr3:uid="{4C386F47-F73D-4AC6-A49E-EDD71932D361}" name="Category" dataDxfId="27"/>
    <tableColumn id="3" xr3:uid="{8E287CED-B63B-492C-98B4-5A6122149EDD}" name="Estimated Time" dataDxfId="26"/>
    <tableColumn id="4" xr3:uid="{55D1FB05-DED3-4953-8F92-A0816DDF6CBF}" name="Description" dataDxfId="25"/>
    <tableColumn id="5" xr3:uid="{39A0AD2B-AE8C-4EB8-9247-4F703195C200}" name="Statu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9A6DE2-B3DD-4A33-9CCC-A50733034331}" name="Table14" displayName="Table14" ref="A1:F1048576" totalsRowShown="0" headerRowDxfId="19" dataDxfId="18">
  <autoFilter ref="A1:F1048576" xr:uid="{BF084594-39F3-4FCA-9764-277DB04102C1}"/>
  <tableColumns count="6">
    <tableColumn id="1" xr3:uid="{8E9C6037-2C3C-4FEB-8034-8D0FAA787278}" name="Date" dataDxfId="17"/>
    <tableColumn id="2" xr3:uid="{18650CBF-0471-46C1-95BB-26864B676F35}" name="Task" dataDxfId="16"/>
    <tableColumn id="3" xr3:uid="{1E1F1EB1-1790-4717-80AC-5B9284AA021D}" name="Category" dataDxfId="15"/>
    <tableColumn id="4" xr3:uid="{7D3C1238-4E44-49B4-A80F-674037946FCD}" name="Estimated Time" dataDxfId="14"/>
    <tableColumn id="5" xr3:uid="{4946A946-B1DF-418F-B48C-7E34F2C6A302}" name="Description" dataDxfId="13"/>
    <tableColumn id="6" xr3:uid="{CC92BA63-C58C-4F20-AE9F-AEA52C760543}" name="Status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084594-39F3-4FCA-9764-277DB04102C1}" name="Table1" displayName="Table1" ref="A1:F1048576" totalsRowShown="0" headerRowDxfId="7" dataDxfId="6">
  <autoFilter ref="A1:F1048576" xr:uid="{BF084594-39F3-4FCA-9764-277DB04102C1}"/>
  <tableColumns count="6">
    <tableColumn id="1" xr3:uid="{B3CF6139-8CDE-4F03-987C-2AABE3966BE4}" name="Date" dataDxfId="5"/>
    <tableColumn id="2" xr3:uid="{0F9DA165-60A1-44DD-851B-CB77B9F7EFC1}" name="Task" dataDxfId="4"/>
    <tableColumn id="3" xr3:uid="{8B25730A-E688-4105-8861-94CF9D949E62}" name="Category" dataDxfId="3"/>
    <tableColumn id="4" xr3:uid="{DBA6BCC8-1245-43B6-8321-55BB59EC068C}" name="Estimated Time" dataDxfId="2"/>
    <tableColumn id="5" xr3:uid="{02CEFBCF-3823-4CE9-920B-EDA2B1752CC2}" name="Description" dataDxfId="1"/>
    <tableColumn id="6" xr3:uid="{8686F021-6599-4AED-82B0-0778106DC9F4}" name="Statu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>
    <tabColor theme="8"/>
  </sheetPr>
  <dimension ref="A1:CA15"/>
  <sheetViews>
    <sheetView zoomScale="70" zoomScaleNormal="102" workbookViewId="0">
      <selection activeCell="K3" sqref="K3"/>
    </sheetView>
  </sheetViews>
  <sheetFormatPr defaultColWidth="8.86328125" defaultRowHeight="45" customHeight="1" x14ac:dyDescent="0.45"/>
  <cols>
    <col min="1" max="1" width="24.46484375" style="2" customWidth="1"/>
    <col min="2" max="2" width="20.1328125" style="2" bestFit="1" customWidth="1"/>
    <col min="3" max="3" width="20.1328125" style="2" customWidth="1"/>
    <col min="4" max="4" width="28.33203125" style="2" bestFit="1" customWidth="1"/>
    <col min="5" max="5" width="38.796875" style="2" customWidth="1"/>
    <col min="6" max="6" width="24.53125" style="2" customWidth="1"/>
    <col min="12" max="16384" width="8.86328125" style="4"/>
  </cols>
  <sheetData>
    <row r="1" spans="1:79" ht="45" customHeight="1" x14ac:dyDescent="0.45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</row>
    <row r="2" spans="1:79" ht="45" customHeight="1" x14ac:dyDescent="0.45">
      <c r="A2" s="3"/>
    </row>
    <row r="3" spans="1:79" ht="45" customHeight="1" x14ac:dyDescent="0.45">
      <c r="A3" s="3"/>
    </row>
    <row r="4" spans="1:79" ht="45" customHeight="1" x14ac:dyDescent="0.45">
      <c r="A4" s="3"/>
    </row>
    <row r="5" spans="1:79" ht="45" customHeight="1" x14ac:dyDescent="0.45">
      <c r="A5" s="3"/>
      <c r="F5" s="1"/>
    </row>
    <row r="6" spans="1:79" ht="45" customHeight="1" x14ac:dyDescent="0.45">
      <c r="A6" s="3"/>
      <c r="BX6" s="4" t="s">
        <v>14</v>
      </c>
      <c r="BY6" s="4" t="s">
        <v>7</v>
      </c>
      <c r="BZ6" s="4" t="s">
        <v>15</v>
      </c>
      <c r="CA6" s="4" t="s">
        <v>13</v>
      </c>
    </row>
    <row r="7" spans="1:79" ht="45" customHeight="1" x14ac:dyDescent="0.45">
      <c r="A7" s="3"/>
      <c r="BW7" s="4" t="s">
        <v>10</v>
      </c>
      <c r="BX7" s="4">
        <f>COUNTIFS(C:C, "Practice", F:F, "Overdue")</f>
        <v>0</v>
      </c>
      <c r="BY7" s="4">
        <f>COUNTIFS(C:C, "Practice", F:F, "Pending")</f>
        <v>0</v>
      </c>
      <c r="BZ7" s="4">
        <f>COUNTIFS(C:C, "Practice", F:F, "Standby")</f>
        <v>0</v>
      </c>
      <c r="CA7" s="4">
        <f>COUNTIFS(C:C, "Practice", F:F, "Completed")</f>
        <v>0</v>
      </c>
    </row>
    <row r="8" spans="1:79" ht="45" customHeight="1" x14ac:dyDescent="0.45">
      <c r="A8" s="3"/>
      <c r="BW8" s="4" t="s">
        <v>8</v>
      </c>
      <c r="BX8" s="4">
        <f>COUNTIFS(C:C, "Quiz", F:F, "Overdue")</f>
        <v>0</v>
      </c>
      <c r="BY8" s="4">
        <f>COUNTIFS(C:C, "Quiz", F:F, "Pending")</f>
        <v>0</v>
      </c>
      <c r="BZ8" s="4">
        <f>COUNTIFS(C:C, "Quiz", F:F, "Standby")</f>
        <v>0</v>
      </c>
      <c r="CA8" s="4">
        <f>COUNTIFS(C:C, "Quiz", F:F, "Completed")</f>
        <v>0</v>
      </c>
    </row>
    <row r="9" spans="1:79" ht="45" customHeight="1" x14ac:dyDescent="0.45">
      <c r="A9" s="3"/>
      <c r="BW9" s="4" t="s">
        <v>6</v>
      </c>
      <c r="BX9" s="4">
        <f>COUNTIFS(C:C, "Assignment", F:F, "Overdue")</f>
        <v>0</v>
      </c>
      <c r="BY9" s="4">
        <f>COUNTIFS(C:C, "Assignment", F:F, "Pending")</f>
        <v>0</v>
      </c>
      <c r="BZ9" s="4">
        <f>COUNTIFS(C:C, "Assignment", F:F, "Standby")</f>
        <v>0</v>
      </c>
      <c r="CA9" s="4">
        <f>COUNTIFS(C:C, "Assignment", F:F, "Completed")</f>
        <v>0</v>
      </c>
    </row>
    <row r="10" spans="1:79" ht="45" customHeight="1" x14ac:dyDescent="0.45">
      <c r="A10" s="3"/>
      <c r="BW10" s="4" t="s">
        <v>9</v>
      </c>
      <c r="BX10" s="4">
        <f>COUNTIFS(C:C, "Exam", F:F, "Overdue")</f>
        <v>0</v>
      </c>
      <c r="BY10" s="4">
        <f>COUNTIFS(C:C, "Exam", F:F, "Pending")</f>
        <v>0</v>
      </c>
      <c r="BZ10" s="4">
        <f>COUNTIFS(C:C, "Exam", F:F, "Standby")</f>
        <v>0</v>
      </c>
      <c r="CA10" s="4">
        <f>COUNTIFS(C:C, "Exam", F:F, "Completed")</f>
        <v>0</v>
      </c>
    </row>
    <row r="11" spans="1:79" ht="45" customHeight="1" x14ac:dyDescent="0.45">
      <c r="A11" s="3"/>
      <c r="BW11" s="4" t="s">
        <v>11</v>
      </c>
      <c r="BX11" s="4">
        <f>COUNTIFS(C:C, "Meeting", F:F, "Overdue")</f>
        <v>0</v>
      </c>
      <c r="BY11" s="4">
        <f>COUNTIFS(C:C, "Meeting", F:F, "Pending")</f>
        <v>0</v>
      </c>
      <c r="BZ11" s="4">
        <f>COUNTIFS(C:C, "Meeting", F:F, "Standby")</f>
        <v>0</v>
      </c>
      <c r="CA11" s="4">
        <f>COUNTIFS(C:C, "Meeting", F:F, "Completed")</f>
        <v>0</v>
      </c>
    </row>
    <row r="12" spans="1:79" ht="45" customHeight="1" x14ac:dyDescent="0.45">
      <c r="A12" s="3"/>
      <c r="BW12" s="4" t="s">
        <v>12</v>
      </c>
      <c r="BX12" s="4">
        <f>COUNTIFS(C:C, "Study Time", F:F, "Overdue")</f>
        <v>0</v>
      </c>
      <c r="BY12" s="4">
        <f>COUNTIFS(C:C, "Study Time", F:F, "Pending")</f>
        <v>0</v>
      </c>
      <c r="BZ12" s="4">
        <f>COUNTIFS(C:C, "Study Time", F:F, "Standby")</f>
        <v>0</v>
      </c>
      <c r="CA12" s="4">
        <f>COUNTIFS(C:C, "Study Time", F:F, "Completed")</f>
        <v>0</v>
      </c>
    </row>
    <row r="13" spans="1:79" ht="45" customHeight="1" x14ac:dyDescent="0.45">
      <c r="A13" s="3"/>
    </row>
    <row r="14" spans="1:79" ht="45" customHeight="1" x14ac:dyDescent="0.45">
      <c r="A14" s="3"/>
    </row>
    <row r="15" spans="1:79" ht="45" customHeight="1" x14ac:dyDescent="0.45">
      <c r="A15" s="3"/>
    </row>
  </sheetData>
  <conditionalFormatting sqref="F2:F1048576">
    <cfRule type="containsText" dxfId="35" priority="4" operator="containsText" text="Pending">
      <formula>NOT(ISERROR(SEARCH("Pending",F2)))</formula>
    </cfRule>
    <cfRule type="containsText" dxfId="34" priority="3" operator="containsText" text="overdue">
      <formula>NOT(ISERROR(SEARCH("overdue",F2)))</formula>
    </cfRule>
    <cfRule type="containsText" dxfId="33" priority="2" operator="containsText" text="standby">
      <formula>NOT(ISERROR(SEARCH("standby",F2)))</formula>
    </cfRule>
    <cfRule type="containsText" dxfId="32" priority="1" operator="containsText" text="complete">
      <formula>NOT(ISERROR(SEARCH("complete",F2)))</formula>
    </cfRule>
  </conditionalFormatting>
  <dataValidations count="1">
    <dataValidation type="list" allowBlank="1" showInputMessage="1" showErrorMessage="1" sqref="F2:F1048576" xr:uid="{3ECDD0FA-2EF4-424E-AF73-020D9C4748C8}">
      <formula1>"Complete,Pending,Overdue,Standby"</formula1>
    </dataValidation>
  </dataValidations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FB169-0915-437E-A5B6-7CB82665F5BB}">
  <sheetPr codeName="Sheet3">
    <tabColor theme="8"/>
  </sheetPr>
  <dimension ref="A1:F5"/>
  <sheetViews>
    <sheetView workbookViewId="0">
      <selection activeCell="H5" sqref="H5"/>
    </sheetView>
  </sheetViews>
  <sheetFormatPr defaultRowHeight="45" customHeight="1" x14ac:dyDescent="0.45"/>
  <cols>
    <col min="1" max="1" width="18.53125" style="2" customWidth="1"/>
    <col min="2" max="2" width="26.796875" style="2" customWidth="1"/>
    <col min="3" max="3" width="21.86328125" style="2" customWidth="1"/>
    <col min="4" max="4" width="19.796875" style="2" customWidth="1"/>
    <col min="5" max="5" width="35" style="2" customWidth="1"/>
    <col min="6" max="6" width="19.53125" style="2" customWidth="1"/>
  </cols>
  <sheetData>
    <row r="1" spans="1:6" ht="45" customHeight="1" x14ac:dyDescent="0.45">
      <c r="A1" s="6" t="s">
        <v>2</v>
      </c>
      <c r="B1" s="6" t="s">
        <v>3</v>
      </c>
      <c r="C1" s="6" t="s">
        <v>0</v>
      </c>
      <c r="D1" s="6" t="s">
        <v>4</v>
      </c>
      <c r="E1" s="6" t="s">
        <v>1</v>
      </c>
      <c r="F1" s="6" t="s">
        <v>5</v>
      </c>
    </row>
    <row r="2" spans="1:6" ht="45" customHeight="1" x14ac:dyDescent="0.45">
      <c r="A2" s="3"/>
    </row>
    <row r="3" spans="1:6" ht="45" customHeight="1" x14ac:dyDescent="0.45">
      <c r="A3" s="3"/>
    </row>
    <row r="4" spans="1:6" ht="45" customHeight="1" x14ac:dyDescent="0.45">
      <c r="A4" s="3"/>
    </row>
    <row r="5" spans="1:6" ht="45" customHeight="1" x14ac:dyDescent="0.45">
      <c r="A5" s="3"/>
    </row>
  </sheetData>
  <conditionalFormatting sqref="F2:F1048576">
    <cfRule type="containsText" dxfId="23" priority="4" operator="containsText" text="Overdue">
      <formula>NOT(ISERROR(SEARCH("Overdue",F2)))</formula>
    </cfRule>
    <cfRule type="containsText" dxfId="22" priority="3" operator="containsText" text="complete">
      <formula>NOT(ISERROR(SEARCH("complete",F2)))</formula>
    </cfRule>
    <cfRule type="containsText" dxfId="21" priority="2" operator="containsText" text="pending">
      <formula>NOT(ISERROR(SEARCH("pending",F2)))</formula>
    </cfRule>
    <cfRule type="containsText" dxfId="20" priority="1" operator="containsText" text="standby">
      <formula>NOT(ISERROR(SEARCH("standby",F2)))</formula>
    </cfRule>
  </conditionalFormatting>
  <dataValidations count="1">
    <dataValidation type="list" allowBlank="1" showInputMessage="1" showErrorMessage="1" sqref="F2:F1048576" xr:uid="{1CD35C25-7A6D-4CB3-A6BE-C594E708F16D}">
      <formula1>"Complete,Pending,Overdue,Standby"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20BD7-8CE6-4353-8925-04E051F00D1E}">
  <sheetPr codeName="Sheet2">
    <tabColor theme="8"/>
  </sheetPr>
  <dimension ref="A1:F4"/>
  <sheetViews>
    <sheetView zoomScale="67" workbookViewId="0">
      <selection activeCell="H4" sqref="H4"/>
    </sheetView>
  </sheetViews>
  <sheetFormatPr defaultRowHeight="45" customHeight="1" x14ac:dyDescent="0.45"/>
  <cols>
    <col min="1" max="1" width="18.53125" style="2" customWidth="1"/>
    <col min="2" max="2" width="26.796875" style="2" customWidth="1"/>
    <col min="3" max="3" width="21.86328125" style="2" customWidth="1"/>
    <col min="4" max="4" width="19.796875" style="2" customWidth="1"/>
    <col min="5" max="5" width="35" style="2" customWidth="1"/>
    <col min="6" max="6" width="19.53125" style="2" customWidth="1"/>
  </cols>
  <sheetData>
    <row r="1" spans="1:6" ht="45" customHeight="1" x14ac:dyDescent="0.45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</row>
    <row r="2" spans="1:6" ht="45" customHeight="1" x14ac:dyDescent="0.45">
      <c r="A2" s="3"/>
    </row>
    <row r="3" spans="1:6" ht="45" customHeight="1" x14ac:dyDescent="0.45">
      <c r="A3" s="3"/>
    </row>
    <row r="4" spans="1:6" ht="45" customHeight="1" x14ac:dyDescent="0.45">
      <c r="A4" s="3"/>
    </row>
  </sheetData>
  <conditionalFormatting sqref="F2:F1048576">
    <cfRule type="containsText" dxfId="11" priority="4" operator="containsText" text="Overdue">
      <formula>NOT(ISERROR(SEARCH("Overdue",F2)))</formula>
    </cfRule>
    <cfRule type="containsText" dxfId="10" priority="3" operator="containsText" text="complete">
      <formula>NOT(ISERROR(SEARCH("complete",F2)))</formula>
    </cfRule>
    <cfRule type="containsText" dxfId="9" priority="2" operator="containsText" text="pending">
      <formula>NOT(ISERROR(SEARCH("pending",F2)))</formula>
    </cfRule>
    <cfRule type="containsText" dxfId="8" priority="1" operator="containsText" text="standby">
      <formula>NOT(ISERROR(SEARCH("standby",F2)))</formula>
    </cfRule>
  </conditionalFormatting>
  <dataValidations count="1">
    <dataValidation type="list" allowBlank="1" showInputMessage="1" showErrorMessage="1" sqref="F2:F1048576" xr:uid="{9FDA173B-5A5D-4587-8FEF-E49DCF634894}">
      <formula1>"Complete,Pending,Overdue,Standby"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7B16F-46E4-44B9-9DA1-A59468ADB508}">
  <sheetPr codeName="Sheet5">
    <tabColor theme="7"/>
  </sheetPr>
  <dimension ref="A1"/>
  <sheetViews>
    <sheetView workbookViewId="0">
      <selection activeCell="M12" sqref="M12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3034-A37E-44D4-A28D-A7387CDC6813}">
  <sheetPr codeName="Sheet4"/>
  <dimension ref="A1:A6"/>
  <sheetViews>
    <sheetView tabSelected="1" workbookViewId="0">
      <selection activeCell="D19" sqref="D19"/>
    </sheetView>
  </sheetViews>
  <sheetFormatPr defaultRowHeight="14.25" x14ac:dyDescent="0.45"/>
  <cols>
    <col min="1" max="1" width="87.1328125" style="8" customWidth="1"/>
  </cols>
  <sheetData>
    <row r="1" spans="1:1" ht="34.799999999999997" customHeight="1" thickBot="1" x14ac:dyDescent="0.5">
      <c r="A1" s="9" t="s">
        <v>16</v>
      </c>
    </row>
    <row r="2" spans="1:1" x14ac:dyDescent="0.45">
      <c r="A2" s="7"/>
    </row>
    <row r="3" spans="1:1" x14ac:dyDescent="0.45">
      <c r="A3" s="7"/>
    </row>
    <row r="4" spans="1:1" x14ac:dyDescent="0.45">
      <c r="A4" s="7"/>
    </row>
    <row r="5" spans="1:1" x14ac:dyDescent="0.45">
      <c r="A5" s="7"/>
    </row>
    <row r="6" spans="1:1" x14ac:dyDescent="0.45">
      <c r="A6" s="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2325BEAFE7F9428E5D4763043D7106" ma:contentTypeVersion="7" ma:contentTypeDescription="Create a new document." ma:contentTypeScope="" ma:versionID="123eaa0b681f9d5c973249c66c526711">
  <xsd:schema xmlns:xsd="http://www.w3.org/2001/XMLSchema" xmlns:xs="http://www.w3.org/2001/XMLSchema" xmlns:p="http://schemas.microsoft.com/office/2006/metadata/properties" xmlns:ns3="730065ae-0c4e-4fe2-83da-e378abc56499" xmlns:ns4="25af2e44-3863-4f07-bc1c-5e8baf608108" targetNamespace="http://schemas.microsoft.com/office/2006/metadata/properties" ma:root="true" ma:fieldsID="627ad37e9a5ac753edec0a25837547ca" ns3:_="" ns4:_="">
    <xsd:import namespace="730065ae-0c4e-4fe2-83da-e378abc56499"/>
    <xsd:import namespace="25af2e44-3863-4f07-bc1c-5e8baf60810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065ae-0c4e-4fe2-83da-e378abc564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af2e44-3863-4f07-bc1c-5e8baf6081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30065ae-0c4e-4fe2-83da-e378abc5649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3628C1-F6B6-4566-A76E-69DDF7F449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065ae-0c4e-4fe2-83da-e378abc56499"/>
    <ds:schemaRef ds:uri="25af2e44-3863-4f07-bc1c-5e8baf6081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25af2e44-3863-4f07-bc1c-5e8baf608108"/>
    <ds:schemaRef ds:uri="http://purl.org/dc/dcmitype/"/>
    <ds:schemaRef ds:uri="http://www.w3.org/XML/1998/namespace"/>
    <ds:schemaRef ds:uri="730065ae-0c4e-4fe2-83da-e378abc56499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TaskOverview</vt:lpstr>
      <vt:lpstr>Academic Tasks</vt:lpstr>
      <vt:lpstr>Non-Academic Tasks</vt:lpstr>
      <vt:lpstr>Advice</vt:lpstr>
      <vt:lpstr>Notes</vt:lpstr>
      <vt:lpstr>Visualization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Tejas Thind</cp:lastModifiedBy>
  <cp:revision/>
  <dcterms:created xsi:type="dcterms:W3CDTF">2021-10-26T04:32:41Z</dcterms:created>
  <dcterms:modified xsi:type="dcterms:W3CDTF">2023-12-06T04:51:49Z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0x010100072325BEAFE7F9428E5D4763043D7106</vt:lpwstr>
  </property>
</Properties>
</file>